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13_ncr:1_{7C5697EB-E117-4487-AADE-8074577E553D}" xr6:coauthVersionLast="47" xr6:coauthVersionMax="47" xr10:uidLastSave="{00000000-0000-0000-0000-000000000000}"/>
  <bookViews>
    <workbookView xWindow="-110" yWindow="-110" windowWidth="22620" windowHeight="13500" activeTab="1" xr2:uid="{38E14604-3FCC-4DAD-8015-E593133FD155}"/>
  </bookViews>
  <sheets>
    <sheet name="branch_performance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2" l="1"/>
  <c r="I19" i="2"/>
  <c r="D20" i="2"/>
  <c r="D16" i="2"/>
  <c r="D10" i="2"/>
  <c r="I20" i="2"/>
  <c r="A24" i="2"/>
  <c r="I16" i="2"/>
  <c r="I17" i="2"/>
  <c r="I15" i="2"/>
  <c r="J5" i="2"/>
  <c r="I5" i="2"/>
  <c r="J4" i="2"/>
  <c r="I4" i="2"/>
  <c r="J3" i="2"/>
  <c r="I3" i="2"/>
  <c r="B20" i="2"/>
  <c r="A21" i="2" s="1"/>
  <c r="A16" i="2"/>
  <c r="B15" i="2"/>
  <c r="B12" i="2"/>
  <c r="A13" i="2"/>
  <c r="A10" i="2"/>
  <c r="B9" i="2"/>
  <c r="D4" i="2"/>
  <c r="F4" i="2"/>
  <c r="A7" i="2"/>
  <c r="E4" i="2"/>
  <c r="C4" i="2"/>
  <c r="A4" i="2"/>
</calcChain>
</file>

<file path=xl/sharedStrings.xml><?xml version="1.0" encoding="utf-8"?>
<sst xmlns="http://schemas.openxmlformats.org/spreadsheetml/2006/main" count="74" uniqueCount="46">
  <si>
    <t>branch_id</t>
  </si>
  <si>
    <t>total_applications</t>
  </si>
  <si>
    <t>approved_applications</t>
  </si>
  <si>
    <t>dropped_applications</t>
  </si>
  <si>
    <t>approval_rate</t>
  </si>
  <si>
    <t>drop_off_rate</t>
  </si>
  <si>
    <t>performance_flag</t>
  </si>
  <si>
    <t>B011</t>
  </si>
  <si>
    <t>High Drop-off</t>
  </si>
  <si>
    <t>B002</t>
  </si>
  <si>
    <t>B006</t>
  </si>
  <si>
    <t>B008</t>
  </si>
  <si>
    <t>B015</t>
  </si>
  <si>
    <t>B004</t>
  </si>
  <si>
    <t>B019</t>
  </si>
  <si>
    <t>Lower Drop-off</t>
  </si>
  <si>
    <t>B009</t>
  </si>
  <si>
    <t>B012</t>
  </si>
  <si>
    <t>B018</t>
  </si>
  <si>
    <t>B007</t>
  </si>
  <si>
    <t>B020</t>
  </si>
  <si>
    <t>B001</t>
  </si>
  <si>
    <t>B005</t>
  </si>
  <si>
    <t>B016</t>
  </si>
  <si>
    <t>B013</t>
  </si>
  <si>
    <t>B017</t>
  </si>
  <si>
    <t>B010</t>
  </si>
  <si>
    <t>B003</t>
  </si>
  <si>
    <t>B014</t>
  </si>
  <si>
    <t>Branch Performance Dashboard</t>
  </si>
  <si>
    <t>Total applications</t>
  </si>
  <si>
    <t>Approval Rate</t>
  </si>
  <si>
    <t>Total Dropped Applications</t>
  </si>
  <si>
    <t>Average Application per Branch</t>
  </si>
  <si>
    <t>Drop-off rate</t>
  </si>
  <si>
    <t>Highest Applications by Branch</t>
  </si>
  <si>
    <t>Overall Approval Rate (%)</t>
  </si>
  <si>
    <t>Lowest Applications by Branch</t>
  </si>
  <si>
    <t>Highest Approval Rate (%)</t>
  </si>
  <si>
    <t>Lowest Approval Rate (%)</t>
  </si>
  <si>
    <t>Branch</t>
  </si>
  <si>
    <t>Applications</t>
  </si>
  <si>
    <t>Approval rates</t>
  </si>
  <si>
    <t>Total Approved Applications</t>
  </si>
  <si>
    <t>Highest Approval Rate Branch</t>
  </si>
  <si>
    <t>Lowest Approval Rate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</si>
</sst>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b/>
      <sz val="18"/>
      <color theme="4" tint="-0.249977111117893"/>
      <name val="Calibri"/>
      <family val="2"/>
    </font>
    <font>
      <b/>
      <sz val="16"/>
      <color rgb="FF17365D"/>
      <name val="Calibri"/>
      <family val="2"/>
    </font>
    <font>
      <b/>
      <sz val="16"/>
      <color rgb="FF38761D"/>
      <name val="Calibri"/>
      <family val="2"/>
    </font>
    <font>
      <b/>
      <sz val="16"/>
      <color rgb="FFC00000"/>
      <name val="Calibri"/>
      <family val="2"/>
    </font>
    <font>
      <sz val="18"/>
      <color rgb="FFFFFFFF"/>
      <name val="Calibri"/>
      <family val="2"/>
    </font>
    <font>
      <sz val="16"/>
      <color rgb="FF404040"/>
      <name val="Calibri"/>
      <family val="2"/>
    </font>
    <font>
      <sz val="16"/>
      <color theme="1"/>
      <name val="Calibri"/>
      <family val="2"/>
    </font>
    <font>
      <b/>
      <sz val="48"/>
      <color theme="0"/>
      <name val="Calibri"/>
      <family val="2"/>
    </font>
    <font>
      <b/>
      <sz val="18"/>
      <color rgb="FFFFFFFF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565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2" fontId="18" fillId="34" borderId="13" xfId="0" applyNumberFormat="1" applyFont="1" applyFill="1" applyBorder="1" applyAlignment="1">
      <alignment horizontal="center"/>
    </xf>
    <xf numFmtId="164" fontId="18" fillId="34" borderId="13" xfId="0" applyNumberFormat="1" applyFont="1" applyFill="1" applyBorder="1" applyAlignment="1">
      <alignment horizontal="center"/>
    </xf>
    <xf numFmtId="0" fontId="20" fillId="35" borderId="11" xfId="0" applyFont="1" applyFill="1" applyBorder="1" applyAlignment="1">
      <alignment horizontal="center"/>
    </xf>
    <xf numFmtId="0" fontId="21" fillId="36" borderId="11" xfId="0" applyFont="1" applyFill="1" applyBorder="1" applyAlignment="1">
      <alignment horizontal="center"/>
    </xf>
    <xf numFmtId="0" fontId="22" fillId="37" borderId="11" xfId="0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3" fillId="38" borderId="10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5" fillId="0" borderId="10" xfId="0" applyFont="1" applyBorder="1"/>
    <xf numFmtId="2" fontId="25" fillId="0" borderId="10" xfId="0" applyNumberFormat="1" applyFont="1" applyBorder="1"/>
    <xf numFmtId="0" fontId="27" fillId="38" borderId="10" xfId="0" applyFont="1" applyFill="1" applyBorder="1" applyAlignment="1">
      <alignment horizontal="center"/>
    </xf>
    <xf numFmtId="0" fontId="27" fillId="38" borderId="10" xfId="0" applyFont="1" applyFill="1" applyBorder="1" applyAlignment="1">
      <alignment horizontal="center" vertical="center"/>
    </xf>
    <xf numFmtId="0" fontId="27" fillId="38" borderId="10" xfId="0" applyFont="1" applyFill="1" applyBorder="1" applyAlignment="1">
      <alignment horizontal="center" vertical="center" wrapText="1"/>
    </xf>
    <xf numFmtId="0" fontId="2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  <color rgb="FF404040"/>
      <color rgb="FF1565C0"/>
      <color rgb="FFC00000"/>
      <color rgb="FFFCE4D6"/>
      <color rgb="FF38761D"/>
      <color rgb="FFE2F0D9"/>
      <color rgb="FF17365D"/>
      <color rgb="FFD9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</a:t>
            </a:r>
            <a:r>
              <a:rPr lang="en-IN"/>
              <a:t>applications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branch_performance!$B$1</c:f>
              <c:strCache>
                <c:ptCount val="1"/>
                <c:pt idx="0">
                  <c:v>total_applications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branch_performance!$A$2:$A$21</c:f>
              <c:strCache>
                <c:ptCount val="20"/>
                <c:pt idx="0">
                  <c:v>B011</c:v>
                </c:pt>
                <c:pt idx="1">
                  <c:v>B002</c:v>
                </c:pt>
                <c:pt idx="2">
                  <c:v>B006</c:v>
                </c:pt>
                <c:pt idx="3">
                  <c:v>B008</c:v>
                </c:pt>
                <c:pt idx="4">
                  <c:v>B015</c:v>
                </c:pt>
                <c:pt idx="5">
                  <c:v>B004</c:v>
                </c:pt>
                <c:pt idx="6">
                  <c:v>B019</c:v>
                </c:pt>
                <c:pt idx="7">
                  <c:v>B009</c:v>
                </c:pt>
                <c:pt idx="8">
                  <c:v>B012</c:v>
                </c:pt>
                <c:pt idx="9">
                  <c:v>B018</c:v>
                </c:pt>
                <c:pt idx="10">
                  <c:v>B007</c:v>
                </c:pt>
                <c:pt idx="11">
                  <c:v>B020</c:v>
                </c:pt>
                <c:pt idx="12">
                  <c:v>B001</c:v>
                </c:pt>
                <c:pt idx="13">
                  <c:v>B005</c:v>
                </c:pt>
                <c:pt idx="14">
                  <c:v>B016</c:v>
                </c:pt>
                <c:pt idx="15">
                  <c:v>B013</c:v>
                </c:pt>
                <c:pt idx="16">
                  <c:v>B017</c:v>
                </c:pt>
                <c:pt idx="17">
                  <c:v>B010</c:v>
                </c:pt>
                <c:pt idx="18">
                  <c:v>B003</c:v>
                </c:pt>
                <c:pt idx="19">
                  <c:v>B014</c:v>
                </c:pt>
              </c:strCache>
            </c:strRef>
          </c:cat>
          <c:val>
            <c:numRef>
              <c:f>branch_performance!$B$2:$B$21</c:f>
              <c:numCache>
                <c:formatCode>General</c:formatCode>
                <c:ptCount val="20"/>
                <c:pt idx="0">
                  <c:v>334</c:v>
                </c:pt>
                <c:pt idx="1">
                  <c:v>277</c:v>
                </c:pt>
                <c:pt idx="2">
                  <c:v>341</c:v>
                </c:pt>
                <c:pt idx="3">
                  <c:v>334</c:v>
                </c:pt>
                <c:pt idx="4">
                  <c:v>345</c:v>
                </c:pt>
                <c:pt idx="5">
                  <c:v>292</c:v>
                </c:pt>
                <c:pt idx="6">
                  <c:v>333</c:v>
                </c:pt>
                <c:pt idx="7">
                  <c:v>336</c:v>
                </c:pt>
                <c:pt idx="8">
                  <c:v>323</c:v>
                </c:pt>
                <c:pt idx="9">
                  <c:v>334</c:v>
                </c:pt>
                <c:pt idx="10">
                  <c:v>301</c:v>
                </c:pt>
                <c:pt idx="11">
                  <c:v>322</c:v>
                </c:pt>
                <c:pt idx="12">
                  <c:v>292</c:v>
                </c:pt>
                <c:pt idx="13">
                  <c:v>360</c:v>
                </c:pt>
                <c:pt idx="14">
                  <c:v>328</c:v>
                </c:pt>
                <c:pt idx="15">
                  <c:v>348</c:v>
                </c:pt>
                <c:pt idx="16">
                  <c:v>311</c:v>
                </c:pt>
                <c:pt idx="17">
                  <c:v>342</c:v>
                </c:pt>
                <c:pt idx="18">
                  <c:v>345</c:v>
                </c:pt>
                <c:pt idx="19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9-4A03-BE79-3A502CB5C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000543"/>
        <c:axId val="626845775"/>
      </c:barChart>
      <c:catAx>
        <c:axId val="105200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45775"/>
        <c:crosses val="autoZero"/>
        <c:auto val="1"/>
        <c:lblAlgn val="ctr"/>
        <c:lblOffset val="100"/>
        <c:noMultiLvlLbl val="0"/>
      </c:catAx>
      <c:valAx>
        <c:axId val="6268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0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Applications by Branch</a:t>
            </a:r>
            <a:endParaRPr lang="en-US"/>
          </a:p>
        </c:rich>
      </c:tx>
      <c:layout>
        <c:manualLayout>
          <c:xMode val="edge"/>
          <c:yMode val="edge"/>
          <c:x val="0.25403151297225762"/>
          <c:y val="2.7628526989991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Dashboard!$J$2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Dashboard!$I$3:$I$5</c:f>
              <c:strCache>
                <c:ptCount val="3"/>
                <c:pt idx="0">
                  <c:v>B011</c:v>
                </c:pt>
                <c:pt idx="1">
                  <c:v>B002</c:v>
                </c:pt>
                <c:pt idx="2">
                  <c:v>B006</c:v>
                </c:pt>
              </c:strCache>
            </c:strRef>
          </c:cat>
          <c:val>
            <c:numRef>
              <c:f>Dashboard!$J$3:$J$5</c:f>
              <c:numCache>
                <c:formatCode>General</c:formatCode>
                <c:ptCount val="3"/>
                <c:pt idx="0">
                  <c:v>334</c:v>
                </c:pt>
                <c:pt idx="1">
                  <c:v>277</c:v>
                </c:pt>
                <c:pt idx="2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9-4351-A9B0-4BE5CA958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016319"/>
        <c:axId val="626883695"/>
      </c:barChart>
      <c:catAx>
        <c:axId val="105201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83695"/>
        <c:crosses val="autoZero"/>
        <c:auto val="1"/>
        <c:lblAlgn val="ctr"/>
        <c:lblOffset val="100"/>
        <c:noMultiLvlLbl val="0"/>
      </c:catAx>
      <c:valAx>
        <c:axId val="62688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1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 rate by Branch</a:t>
            </a:r>
            <a:r>
              <a:rPr lang="en-US" baseline="0"/>
              <a:t>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Dashboard!$H$19:$H$21</c:f>
              <c:strCache>
                <c:ptCount val="3"/>
                <c:pt idx="0">
                  <c:v>B001</c:v>
                </c:pt>
                <c:pt idx="1">
                  <c:v>B002</c:v>
                </c:pt>
                <c:pt idx="2">
                  <c:v>B005</c:v>
                </c:pt>
              </c:strCache>
            </c:strRef>
          </c:cat>
          <c:val>
            <c:numRef>
              <c:f>Dashboard!$I$19:$I$21</c:f>
              <c:numCache>
                <c:formatCode>0.00</c:formatCode>
                <c:ptCount val="3"/>
                <c:pt idx="0">
                  <c:v>58.22</c:v>
                </c:pt>
                <c:pt idx="1">
                  <c:v>50.18</c:v>
                </c:pt>
                <c:pt idx="2">
                  <c:v>58.06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6-4E41-94E6-938D668DDD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2108655"/>
        <c:axId val="38720527"/>
      </c:barChart>
      <c:catAx>
        <c:axId val="105210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0527"/>
        <c:crosses val="autoZero"/>
        <c:auto val="1"/>
        <c:lblAlgn val="ctr"/>
        <c:lblOffset val="100"/>
        <c:noMultiLvlLbl val="0"/>
      </c:catAx>
      <c:valAx>
        <c:axId val="3872052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08655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346075</xdr:colOff>
      <xdr:row>4</xdr:row>
      <xdr:rowOff>88900</xdr:rowOff>
    </xdr:from>
    <xdr:to>
      <xdr:col>15</xdr:col>
      <xdr:colOff>41275</xdr:colOff>
      <xdr:row>19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728DD-D7E5-4EF7-3648-389FCA0AB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273038</xdr:colOff>
      <xdr:row>1</xdr:row>
      <xdr:rowOff>27672</xdr:rowOff>
    </xdr:from>
    <xdr:to>
      <xdr:col>16</xdr:col>
      <xdr:colOff>248696</xdr:colOff>
      <xdr:row>12</xdr:row>
      <xdr:rowOff>97583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0FFBD-135D-41EE-7DD6-3A24BFC7F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715433</xdr:colOff>
      <xdr:row>12</xdr:row>
      <xdr:rowOff>192353</xdr:rowOff>
    </xdr:from>
    <xdr:to>
      <xdr:col>6</xdr:col>
      <xdr:colOff>1196313</xdr:colOff>
      <xdr:row>21</xdr:row>
      <xdr:rowOff>94457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EBC570-C485-A5D7-CAE6-BE73678DE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0A6FC-FADD-4F91-8005-DA90C4B18E90}" name="Table3" displayName="Table3" ref="A1:G22" totalsRowCount="1" headerRowDxfId="15" dataDxfId="14">
  <autoFilter ref="A1:G21" xr:uid="{0700A6FC-FADD-4F91-8005-DA90C4B18E90}"/>
  <tableColumns count="7">
    <tableColumn id="1" xr3:uid="{C646FE72-E290-413A-BFBB-A9628D384742}" name="branch_id" dataDxfId="13" totalsRowDxfId="12"/>
    <tableColumn id="2" xr3:uid="{D1C4568C-750D-4A9C-9278-4474B8A67B45}" name="total_applications" dataDxfId="11" totalsRowDxfId="10"/>
    <tableColumn id="3" xr3:uid="{30E697DB-220B-4183-9EDE-AE064DAD4531}" name="approved_applications" dataDxfId="9" totalsRowDxfId="8"/>
    <tableColumn id="4" xr3:uid="{956DFCDA-38BF-44B3-A0C3-02ACBDE30FF0}" name="dropped_applications" dataDxfId="7" totalsRowDxfId="6"/>
    <tableColumn id="5" xr3:uid="{9AA41BC3-648C-4737-A9A5-354749A68BF8}" name="approval_rate" dataDxfId="5" totalsRowDxfId="4"/>
    <tableColumn id="6" xr3:uid="{70D422D3-94F1-43C8-9545-31772955953E}" name="drop_off_rate" dataDxfId="3" totalsRowDxfId="2"/>
    <tableColumn id="7" xr3:uid="{837812E6-2B97-458F-9107-4608EF5796F0}" name="performance_fla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AE58-A468-4A5E-BDEF-F29E79E86C33}">
  <dimension ref="A1:H22"/>
  <sheetViews>
    <sheetView zoomScale="93" workbookViewId="0">
      <selection activeCell="E15" sqref="E15"/>
    </sheetView>
  </sheetViews>
  <sheetFormatPr defaultRowHeight="14.5" x14ac:dyDescent="0.35"/>
  <cols>
    <col min="1" max="1" width="20" customWidth="1"/>
    <col min="2" max="2" width="21.26953125" customWidth="1"/>
    <col min="3" max="3" width="27.81640625" customWidth="1"/>
    <col min="4" max="4" width="27.1796875" customWidth="1"/>
    <col min="5" max="5" width="23.36328125" customWidth="1"/>
    <col min="6" max="6" width="19.81640625" customWidth="1"/>
    <col min="7" max="7" width="17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5">
      <c r="A2" s="1" t="s">
        <v>7</v>
      </c>
      <c r="B2" s="1">
        <v>334</v>
      </c>
      <c r="C2" s="1">
        <v>154</v>
      </c>
      <c r="D2" s="1">
        <v>66</v>
      </c>
      <c r="E2" s="1">
        <v>46.11</v>
      </c>
      <c r="F2" s="1">
        <v>19.760000000000002</v>
      </c>
      <c r="G2" s="1" t="s">
        <v>8</v>
      </c>
      <c r="H2" s="1"/>
    </row>
    <row r="3" spans="1:8" x14ac:dyDescent="0.35">
      <c r="A3" s="1" t="s">
        <v>9</v>
      </c>
      <c r="B3" s="1">
        <v>277</v>
      </c>
      <c r="C3" s="1">
        <v>139</v>
      </c>
      <c r="D3" s="1">
        <v>51</v>
      </c>
      <c r="E3" s="1">
        <v>50.18</v>
      </c>
      <c r="F3" s="1">
        <v>18.41</v>
      </c>
      <c r="G3" s="1" t="s">
        <v>8</v>
      </c>
      <c r="H3" s="1"/>
    </row>
    <row r="4" spans="1:8" x14ac:dyDescent="0.35">
      <c r="A4" s="1" t="s">
        <v>10</v>
      </c>
      <c r="B4" s="1">
        <v>341</v>
      </c>
      <c r="C4" s="1">
        <v>161</v>
      </c>
      <c r="D4" s="1">
        <v>62</v>
      </c>
      <c r="E4" s="1">
        <v>47.21</v>
      </c>
      <c r="F4" s="1">
        <v>18.18</v>
      </c>
      <c r="G4" s="1" t="s">
        <v>8</v>
      </c>
      <c r="H4" s="1"/>
    </row>
    <row r="5" spans="1:8" x14ac:dyDescent="0.35">
      <c r="A5" s="1" t="s">
        <v>11</v>
      </c>
      <c r="B5" s="1">
        <v>334</v>
      </c>
      <c r="C5" s="1">
        <v>150</v>
      </c>
      <c r="D5" s="1">
        <v>60</v>
      </c>
      <c r="E5" s="1">
        <v>44.91</v>
      </c>
      <c r="F5" s="1">
        <v>17.96</v>
      </c>
      <c r="G5" s="1" t="s">
        <v>8</v>
      </c>
      <c r="H5" s="1"/>
    </row>
    <row r="6" spans="1:8" x14ac:dyDescent="0.35">
      <c r="A6" s="1" t="s">
        <v>12</v>
      </c>
      <c r="B6" s="1">
        <v>345</v>
      </c>
      <c r="C6" s="1">
        <v>178</v>
      </c>
      <c r="D6" s="1">
        <v>61</v>
      </c>
      <c r="E6" s="1">
        <v>51.59</v>
      </c>
      <c r="F6" s="1">
        <v>17.68</v>
      </c>
      <c r="G6" s="1" t="s">
        <v>8</v>
      </c>
      <c r="H6" s="1"/>
    </row>
    <row r="7" spans="1:8" x14ac:dyDescent="0.35">
      <c r="A7" s="1" t="s">
        <v>13</v>
      </c>
      <c r="B7" s="1">
        <v>292</v>
      </c>
      <c r="C7" s="1">
        <v>141</v>
      </c>
      <c r="D7" s="1">
        <v>45</v>
      </c>
      <c r="E7" s="1">
        <v>48.29</v>
      </c>
      <c r="F7" s="1">
        <v>15.41</v>
      </c>
      <c r="G7" s="1" t="s">
        <v>8</v>
      </c>
      <c r="H7" s="1"/>
    </row>
    <row r="8" spans="1:8" x14ac:dyDescent="0.35">
      <c r="A8" s="1" t="s">
        <v>14</v>
      </c>
      <c r="B8" s="1">
        <v>333</v>
      </c>
      <c r="C8" s="1">
        <v>189</v>
      </c>
      <c r="D8" s="1">
        <v>40</v>
      </c>
      <c r="E8" s="1">
        <v>56.76</v>
      </c>
      <c r="F8" s="1">
        <v>12.01</v>
      </c>
      <c r="G8" s="1" t="s">
        <v>15</v>
      </c>
      <c r="H8" s="1"/>
    </row>
    <row r="9" spans="1:8" x14ac:dyDescent="0.35">
      <c r="A9" s="1" t="s">
        <v>16</v>
      </c>
      <c r="B9" s="1">
        <v>336</v>
      </c>
      <c r="C9" s="1">
        <v>179</v>
      </c>
      <c r="D9" s="1">
        <v>40</v>
      </c>
      <c r="E9" s="1">
        <v>53.27</v>
      </c>
      <c r="F9" s="1">
        <v>11.9</v>
      </c>
      <c r="G9" s="1" t="s">
        <v>15</v>
      </c>
      <c r="H9" s="1"/>
    </row>
    <row r="10" spans="1:8" x14ac:dyDescent="0.35">
      <c r="A10" s="1" t="s">
        <v>17</v>
      </c>
      <c r="B10" s="1">
        <v>323</v>
      </c>
      <c r="C10" s="1">
        <v>163</v>
      </c>
      <c r="D10" s="1">
        <v>37</v>
      </c>
      <c r="E10" s="1">
        <v>50.46</v>
      </c>
      <c r="F10" s="1">
        <v>11.46</v>
      </c>
      <c r="G10" s="1" t="s">
        <v>15</v>
      </c>
      <c r="H10" s="1"/>
    </row>
    <row r="11" spans="1:8" x14ac:dyDescent="0.35">
      <c r="A11" s="1" t="s">
        <v>18</v>
      </c>
      <c r="B11" s="1">
        <v>334</v>
      </c>
      <c r="C11" s="1">
        <v>184</v>
      </c>
      <c r="D11" s="1">
        <v>38</v>
      </c>
      <c r="E11" s="1">
        <v>55.09</v>
      </c>
      <c r="F11" s="1">
        <v>11.38</v>
      </c>
      <c r="G11" s="1" t="s">
        <v>15</v>
      </c>
      <c r="H11" s="1"/>
    </row>
    <row r="12" spans="1:8" x14ac:dyDescent="0.35">
      <c r="A12" s="1" t="s">
        <v>19</v>
      </c>
      <c r="B12" s="1">
        <v>301</v>
      </c>
      <c r="C12" s="1">
        <v>167</v>
      </c>
      <c r="D12" s="1">
        <v>33</v>
      </c>
      <c r="E12" s="1">
        <v>55.48</v>
      </c>
      <c r="F12" s="1">
        <v>10.96</v>
      </c>
      <c r="G12" s="1" t="s">
        <v>15</v>
      </c>
      <c r="H12" s="1"/>
    </row>
    <row r="13" spans="1:8" x14ac:dyDescent="0.35">
      <c r="A13" s="1" t="s">
        <v>20</v>
      </c>
      <c r="B13" s="1">
        <v>322</v>
      </c>
      <c r="C13" s="1">
        <v>187</v>
      </c>
      <c r="D13" s="1">
        <v>29</v>
      </c>
      <c r="E13" s="1">
        <v>58.07</v>
      </c>
      <c r="F13" s="1">
        <v>9.01</v>
      </c>
      <c r="G13" s="1" t="s">
        <v>15</v>
      </c>
      <c r="H13" s="1"/>
    </row>
    <row r="14" spans="1:8" x14ac:dyDescent="0.35">
      <c r="A14" s="1" t="s">
        <v>21</v>
      </c>
      <c r="B14" s="1">
        <v>292</v>
      </c>
      <c r="C14" s="1">
        <v>170</v>
      </c>
      <c r="D14" s="1">
        <v>26</v>
      </c>
      <c r="E14" s="1">
        <v>58.22</v>
      </c>
      <c r="F14" s="1">
        <v>8.9</v>
      </c>
      <c r="G14" s="1" t="s">
        <v>15</v>
      </c>
      <c r="H14" s="1"/>
    </row>
    <row r="15" spans="1:8" x14ac:dyDescent="0.35">
      <c r="A15" s="1" t="s">
        <v>22</v>
      </c>
      <c r="B15" s="1">
        <v>360</v>
      </c>
      <c r="C15" s="1">
        <v>209</v>
      </c>
      <c r="D15" s="1">
        <v>29</v>
      </c>
      <c r="E15" s="1">
        <v>58.06</v>
      </c>
      <c r="F15" s="1">
        <v>8.06</v>
      </c>
      <c r="G15" s="1" t="s">
        <v>15</v>
      </c>
      <c r="H15" s="1"/>
    </row>
    <row r="16" spans="1:8" x14ac:dyDescent="0.35">
      <c r="A16" s="1" t="s">
        <v>23</v>
      </c>
      <c r="B16" s="1">
        <v>328</v>
      </c>
      <c r="C16" s="1">
        <v>205</v>
      </c>
      <c r="D16" s="1">
        <v>20</v>
      </c>
      <c r="E16" s="1">
        <v>62.5</v>
      </c>
      <c r="F16" s="1">
        <v>6.1</v>
      </c>
      <c r="G16" s="1" t="s">
        <v>15</v>
      </c>
      <c r="H16" s="1"/>
    </row>
    <row r="17" spans="1:8" x14ac:dyDescent="0.35">
      <c r="A17" s="1" t="s">
        <v>24</v>
      </c>
      <c r="B17" s="1">
        <v>348</v>
      </c>
      <c r="C17" s="1">
        <v>223</v>
      </c>
      <c r="D17" s="1">
        <v>13</v>
      </c>
      <c r="E17" s="1">
        <v>64.08</v>
      </c>
      <c r="F17" s="1">
        <v>3.74</v>
      </c>
      <c r="G17" s="1" t="s">
        <v>15</v>
      </c>
      <c r="H17" s="1"/>
    </row>
    <row r="18" spans="1:8" x14ac:dyDescent="0.35">
      <c r="A18" s="1" t="s">
        <v>25</v>
      </c>
      <c r="B18" s="1">
        <v>311</v>
      </c>
      <c r="C18" s="1">
        <v>209</v>
      </c>
      <c r="D18" s="1">
        <v>9</v>
      </c>
      <c r="E18" s="1">
        <v>67.2</v>
      </c>
      <c r="F18" s="1">
        <v>2.89</v>
      </c>
      <c r="G18" s="1" t="s">
        <v>15</v>
      </c>
      <c r="H18" s="1"/>
    </row>
    <row r="19" spans="1:8" x14ac:dyDescent="0.35">
      <c r="A19" s="1" t="s">
        <v>26</v>
      </c>
      <c r="B19" s="1">
        <v>342</v>
      </c>
      <c r="C19" s="1">
        <v>220</v>
      </c>
      <c r="D19" s="1">
        <v>9</v>
      </c>
      <c r="E19" s="1">
        <v>64.33</v>
      </c>
      <c r="F19" s="1">
        <v>2.63</v>
      </c>
      <c r="G19" s="1" t="s">
        <v>15</v>
      </c>
      <c r="H19" s="1"/>
    </row>
    <row r="20" spans="1:8" x14ac:dyDescent="0.35">
      <c r="A20" s="1" t="s">
        <v>27</v>
      </c>
      <c r="B20" s="1">
        <v>345</v>
      </c>
      <c r="C20" s="1">
        <v>227</v>
      </c>
      <c r="D20" s="1">
        <v>5</v>
      </c>
      <c r="E20" s="1">
        <v>65.8</v>
      </c>
      <c r="F20" s="1">
        <v>1.45</v>
      </c>
      <c r="G20" s="1" t="s">
        <v>15</v>
      </c>
      <c r="H20" s="1"/>
    </row>
    <row r="21" spans="1:8" x14ac:dyDescent="0.35">
      <c r="A21" s="1" t="s">
        <v>28</v>
      </c>
      <c r="B21" s="1">
        <v>302</v>
      </c>
      <c r="C21" s="1">
        <v>213</v>
      </c>
      <c r="D21" s="1">
        <v>0</v>
      </c>
      <c r="E21" s="1">
        <v>70.53</v>
      </c>
      <c r="F21" s="1">
        <v>0</v>
      </c>
      <c r="G21" s="1" t="s">
        <v>15</v>
      </c>
      <c r="H21" s="1"/>
    </row>
    <row r="22" spans="1:8" x14ac:dyDescent="0.35">
      <c r="A22" s="1"/>
      <c r="B22" s="1"/>
      <c r="C22" s="1"/>
      <c r="D22" s="1"/>
      <c r="E22" s="1"/>
      <c r="F22" s="1"/>
      <c r="G22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9BC8-E0A8-4D5E-B7E3-A0AEB2DE7A08}">
  <dimension ref="A1:Q24"/>
  <sheetViews>
    <sheetView tabSelected="1" zoomScale="67" workbookViewId="0">
      <selection activeCell="C4" sqref="C4"/>
    </sheetView>
  </sheetViews>
  <sheetFormatPr defaultRowHeight="14.5" x14ac:dyDescent="0.35"/>
  <cols>
    <col min="1" max="1" width="44.90625" customWidth="1"/>
    <col min="2" max="2" width="11.26953125" customWidth="1"/>
    <col min="3" max="3" width="24.6328125" customWidth="1"/>
    <col min="4" max="4" width="44.81640625" customWidth="1"/>
    <col min="5" max="5" width="39.81640625" customWidth="1"/>
    <col min="6" max="6" width="18.36328125" customWidth="1"/>
    <col min="7" max="7" width="19.1796875" customWidth="1"/>
    <col min="8" max="8" width="14.54296875" customWidth="1"/>
    <col min="9" max="9" width="15.6328125" customWidth="1"/>
    <col min="10" max="10" width="18.7265625" customWidth="1"/>
  </cols>
  <sheetData>
    <row r="1" spans="1:17" ht="61.5" x14ac:dyDescent="1.35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4" thickBot="1" x14ac:dyDescent="0.6">
      <c r="I2" s="15" t="s">
        <v>40</v>
      </c>
      <c r="J2" s="15" t="s">
        <v>41</v>
      </c>
    </row>
    <row r="3" spans="1:17" ht="23.5" x14ac:dyDescent="0.55000000000000004">
      <c r="A3" s="2" t="s">
        <v>30</v>
      </c>
      <c r="B3" s="1"/>
      <c r="C3" s="2" t="s">
        <v>31</v>
      </c>
      <c r="D3" s="2" t="s">
        <v>36</v>
      </c>
      <c r="E3" s="2" t="s">
        <v>32</v>
      </c>
      <c r="F3" s="2" t="s">
        <v>34</v>
      </c>
      <c r="I3" s="10" t="str">
        <f>branch_performance!A2</f>
        <v>B011</v>
      </c>
      <c r="J3" s="10">
        <f>branch_performance!B2</f>
        <v>334</v>
      </c>
    </row>
    <row r="4" spans="1:17" ht="21.5" thickBot="1" x14ac:dyDescent="0.55000000000000004">
      <c r="A4" s="4">
        <f>SUM(branch_performance!B2:B21)</f>
        <v>6500</v>
      </c>
      <c r="B4" s="1"/>
      <c r="C4" s="5">
        <f>AVERAGE(branch_performance!E2:E21)</f>
        <v>56.407000000000004</v>
      </c>
      <c r="D4" s="6">
        <f>SUM(branch_performance!C2:C21)/SUM(branch_performance!B2:B21)*100</f>
        <v>56.430769230769229</v>
      </c>
      <c r="E4" s="4">
        <f>SUM(branch_performance!D2:D21)</f>
        <v>673</v>
      </c>
      <c r="F4" s="5">
        <f>SUM(branch_performance!D2:D21)/SUM(branch_performance!B2:B21)*100</f>
        <v>10.353846153846154</v>
      </c>
      <c r="I4" s="10" t="str">
        <f>branch_performance!A3</f>
        <v>B002</v>
      </c>
      <c r="J4" s="10">
        <f>branch_performance!B3</f>
        <v>277</v>
      </c>
    </row>
    <row r="5" spans="1:17" ht="21.5" thickBot="1" x14ac:dyDescent="0.55000000000000004">
      <c r="I5" s="10" t="str">
        <f>branch_performance!A4</f>
        <v>B006</v>
      </c>
      <c r="J5" s="10">
        <f>branch_performance!B4</f>
        <v>341</v>
      </c>
    </row>
    <row r="6" spans="1:17" ht="23.5" x14ac:dyDescent="0.55000000000000004">
      <c r="A6" s="2" t="s">
        <v>33</v>
      </c>
    </row>
    <row r="7" spans="1:17" ht="21.5" thickBot="1" x14ac:dyDescent="0.55000000000000004">
      <c r="A7" s="4">
        <f>AVERAGE(branch_performance!B2:B21)</f>
        <v>325</v>
      </c>
    </row>
    <row r="8" spans="1:17" ht="15" thickBot="1" x14ac:dyDescent="0.4"/>
    <row r="9" spans="1:17" ht="24" thickBot="1" x14ac:dyDescent="0.6">
      <c r="A9" s="3" t="s">
        <v>35</v>
      </c>
      <c r="B9" s="7">
        <f>MAX(branch_performance!B2:B21)</f>
        <v>360</v>
      </c>
      <c r="D9" s="2" t="s">
        <v>43</v>
      </c>
    </row>
    <row r="10" spans="1:17" ht="21.5" thickBot="1" x14ac:dyDescent="0.55000000000000004">
      <c r="A10" s="7" t="str">
        <f>INDEX(branch_performance!A2:A21,MATCH(MAX(branch_performance!B2:B21),branch_performance!B2:B21,0))</f>
        <v>B005</v>
      </c>
      <c r="D10" s="4">
        <f>SUM(branch_performance!C2:C21)</f>
        <v>3668</v>
      </c>
    </row>
    <row r="11" spans="1:17" ht="15" thickBot="1" x14ac:dyDescent="0.4"/>
    <row r="12" spans="1:17" ht="24" thickBot="1" x14ac:dyDescent="0.6">
      <c r="A12" s="3" t="s">
        <v>37</v>
      </c>
      <c r="B12" s="7">
        <f>MIN(branch_performance!B2:B21)</f>
        <v>277</v>
      </c>
    </row>
    <row r="13" spans="1:17" ht="21.5" thickBot="1" x14ac:dyDescent="0.55000000000000004">
      <c r="A13" s="7" t="str">
        <f>INDEX(branch_performance!A2:A21,MATCH(MIN(branch_performance!B2:B21),branch_performance!B2:B21,0))</f>
        <v>B002</v>
      </c>
    </row>
    <row r="14" spans="1:17" ht="47.5" thickBot="1" x14ac:dyDescent="0.4">
      <c r="H14" s="16" t="s">
        <v>40</v>
      </c>
      <c r="I14" s="17" t="s">
        <v>42</v>
      </c>
    </row>
    <row r="15" spans="1:17" ht="24" thickBot="1" x14ac:dyDescent="0.6">
      <c r="A15" s="3" t="s">
        <v>38</v>
      </c>
      <c r="B15" s="8">
        <f>MAX(branch_performance!E2:E21)</f>
        <v>70.53</v>
      </c>
      <c r="D15" s="2" t="s">
        <v>44</v>
      </c>
      <c r="H15" s="13" t="s">
        <v>21</v>
      </c>
      <c r="I15" s="13">
        <f>_xlfn.XLOOKUP(H15,branch_performance!A:A,branch_performance!C:C)</f>
        <v>170</v>
      </c>
    </row>
    <row r="16" spans="1:17" ht="21.5" thickBot="1" x14ac:dyDescent="0.55000000000000004">
      <c r="A16" s="8" t="str">
        <f>INDEX(branch_performance!A2:A21,MATCH(MAX(branch_performance!E2:E21),branch_performance!E2:E21,0))</f>
        <v>B014</v>
      </c>
      <c r="D16" s="8" t="str">
        <f>INDEX(branch_performance!A2:A21,MATCH(MAX(branch_performance!E2:E21),branch_performance!E2:E21,0))</f>
        <v>B014</v>
      </c>
      <c r="H16" s="13" t="s">
        <v>9</v>
      </c>
      <c r="I16" s="13">
        <f>_xlfn.XLOOKUP(H16,branch_performance!A:A,branch_performance!C:C)</f>
        <v>139</v>
      </c>
    </row>
    <row r="17" spans="1:9" ht="21" x14ac:dyDescent="0.5">
      <c r="H17" s="13" t="s">
        <v>22</v>
      </c>
      <c r="I17" s="13">
        <f>_xlfn.XLOOKUP(H17,branch_performance!A:A,branch_performance!C:C)</f>
        <v>209</v>
      </c>
    </row>
    <row r="18" spans="1:9" ht="47.5" thickBot="1" x14ac:dyDescent="0.4">
      <c r="H18" s="11" t="s">
        <v>40</v>
      </c>
      <c r="I18" s="12" t="s">
        <v>42</v>
      </c>
    </row>
    <row r="19" spans="1:9" ht="24" thickBot="1" x14ac:dyDescent="0.6">
      <c r="D19" s="2" t="s">
        <v>45</v>
      </c>
      <c r="H19" s="14" t="s">
        <v>21</v>
      </c>
      <c r="I19" s="14">
        <f>branch_performance!E14</f>
        <v>58.22</v>
      </c>
    </row>
    <row r="20" spans="1:9" ht="24" thickBot="1" x14ac:dyDescent="0.6">
      <c r="A20" s="3" t="s">
        <v>39</v>
      </c>
      <c r="B20" s="9">
        <f>MIN(branch_performance!E2:E21)</f>
        <v>44.91</v>
      </c>
      <c r="D20" s="9" t="str">
        <f>INDEX(branch_performance!A2:A21,MATCH(MIN(branch_performance!E2:E21),branch_performance!E2:E21,0))</f>
        <v>B008</v>
      </c>
      <c r="H20" s="14" t="s">
        <v>9</v>
      </c>
      <c r="I20" s="14">
        <f>branch_performance!E3</f>
        <v>50.18</v>
      </c>
    </row>
    <row r="21" spans="1:9" ht="21.5" thickBot="1" x14ac:dyDescent="0.55000000000000004">
      <c r="A21" s="9" t="str">
        <f>INDEX(branch_performance!A2:A21,MATCH(B20,branch_performance!E2:E21,0))</f>
        <v>B008</v>
      </c>
      <c r="H21" s="14" t="s">
        <v>22</v>
      </c>
      <c r="I21" s="14">
        <f>branch_performance!E15</f>
        <v>58.06</v>
      </c>
    </row>
    <row r="22" spans="1:9" ht="15" thickBot="1" x14ac:dyDescent="0.4"/>
    <row r="23" spans="1:9" ht="23.5" x14ac:dyDescent="0.55000000000000004">
      <c r="A23" s="2" t="s">
        <v>43</v>
      </c>
    </row>
    <row r="24" spans="1:9" ht="21.5" thickBot="1" x14ac:dyDescent="0.55000000000000004">
      <c r="A24" s="4">
        <f>SUM(branch_performance!C2:C21)</f>
        <v>3668</v>
      </c>
    </row>
  </sheetData>
  <mergeCells count="1">
    <mergeCell ref="A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branch_performance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Archita</dc:creator>
  <cp:lastModifiedBy>ARCHITA DEBNATH</cp:lastModifiedBy>
  <dcterms:created xsi:type="dcterms:W3CDTF">2026-10-12T09:43:32Z</dcterms:created>
  <dcterms:modified xsi:type="dcterms:W3CDTF">2026-10-21T12:10:09Z</dcterms:modified>
</cp:coreProperties>
</file>